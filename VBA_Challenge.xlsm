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cys\Desktop\Bootcamp\Module2_Challenge\"/>
    </mc:Choice>
  </mc:AlternateContent>
  <xr:revisionPtr revIDLastSave="0" documentId="13_ncr:1_{2429D00B-F3D7-4680-A1DD-99D68D9F7B39}" xr6:coauthVersionLast="47" xr6:coauthVersionMax="47" xr10:uidLastSave="{00000000-0000-0000-0000-000000000000}"/>
  <bookViews>
    <workbookView xWindow="-96" yWindow="-96" windowWidth="23232" windowHeight="1255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Drill" sheetId="5" r:id="rId5"/>
    <sheet name="Comparison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5" i="6" l="1"/>
  <c r="W14" i="6"/>
  <c r="W13" i="6"/>
  <c r="W12" i="6"/>
  <c r="W11" i="6"/>
  <c r="W10" i="6"/>
  <c r="W9" i="6"/>
  <c r="W8" i="6"/>
  <c r="W7" i="6"/>
  <c r="W6" i="6"/>
  <c r="W5" i="6"/>
  <c r="W4" i="6"/>
  <c r="X15" i="6"/>
  <c r="X14" i="6"/>
  <c r="X13" i="6"/>
  <c r="X12" i="6"/>
  <c r="X11" i="6"/>
  <c r="X10" i="6"/>
  <c r="X9" i="6"/>
  <c r="X8" i="6"/>
  <c r="X7" i="6"/>
  <c r="X6" i="6"/>
  <c r="X5" i="6"/>
  <c r="X4" i="6"/>
  <c r="V15" i="6"/>
  <c r="V14" i="6"/>
  <c r="V13" i="6"/>
  <c r="V12" i="6"/>
  <c r="V11" i="6"/>
  <c r="V10" i="6"/>
  <c r="V9" i="6"/>
  <c r="V8" i="6"/>
  <c r="V7" i="6"/>
  <c r="V6" i="6"/>
  <c r="V5" i="6"/>
  <c r="V4" i="6"/>
  <c r="K30" i="6"/>
  <c r="J30" i="6"/>
  <c r="I30" i="6"/>
  <c r="K29" i="6"/>
  <c r="J29" i="6"/>
  <c r="I29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J4" i="6"/>
  <c r="K4" i="6"/>
  <c r="I4" i="6"/>
</calcChain>
</file>

<file path=xl/sharedStrings.xml><?xml version="1.0" encoding="utf-8"?>
<sst xmlns="http://schemas.openxmlformats.org/spreadsheetml/2006/main" count="12200" uniqueCount="535">
  <si>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</si>
  <si>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</si>
  <si>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</si>
  <si>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</si>
  <si>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</si>
  <si>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</si>
  <si>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</si>
  <si>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</si>
  <si>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</si>
  <si>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</si>
  <si>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</si>
  <si>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</si>
  <si>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</si>
  <si>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</si>
  <si>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</si>
  <si>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</si>
  <si>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</si>
  <si>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</si>
  <si>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</si>
  <si>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</si>
  <si>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</si>
  <si>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</si>
  <si>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</si>
  <si>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</si>
  <si>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</si>
  <si>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</si>
  <si>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</si>
  <si>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</si>
  <si>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</si>
  <si>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</si>
  <si>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</si>
  <si>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</si>
  <si>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</si>
  <si>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</si>
  <si>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</si>
  <si>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</si>
  <si>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</si>
  <si>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</si>
  <si>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</si>
  <si>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</si>
  <si>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</si>
  <si>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</si>
  <si>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</si>
  <si>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</si>
  <si>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</si>
  <si>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</si>
  <si>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</si>
  <si>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</si>
  <si>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</si>
  <si>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</si>
  <si>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</si>
  <si>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</si>
  <si>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</si>
  <si>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</si>
  <si>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</si>
  <si>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</si>
  <si>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</si>
  <si>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</si>
  <si>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</si>
  <si>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</si>
  <si>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</si>
  <si>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</si>
  <si>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</si>
  <si>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</si>
  <si>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</si>
  <si>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</si>
  <si>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</si>
  <si>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</si>
  <si>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</si>
  <si>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</si>
  <si>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</si>
  <si>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</si>
  <si>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</si>
  <si>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</si>
  <si>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</si>
  <si>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</si>
  <si>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</si>
  <si>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</si>
  <si>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</si>
  <si>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</si>
  <si>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</si>
  <si>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</si>
  <si>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</si>
  <si>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</si>
  <si>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</si>
  <si>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</si>
  <si>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</si>
  <si>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</si>
  <si>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</si>
  <si>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</si>
  <si>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</si>
  <si>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</si>
  <si>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</si>
  <si>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</si>
  <si>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</si>
  <si>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</si>
  <si>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</si>
  <si>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</si>
  <si>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</si>
  <si>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</si>
  <si>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</si>
  <si>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</si>
  <si>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</si>
  <si>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</si>
  <si>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</si>
  <si>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</si>
  <si>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</si>
  <si>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</si>
  <si>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</si>
  <si>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</si>
  <si>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</si>
  <si>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</si>
  <si>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</si>
  <si>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</si>
  <si>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</si>
  <si>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</si>
  <si>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</si>
  <si>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</si>
  <si>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</si>
  <si>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</si>
  <si>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</si>
  <si>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</si>
  <si>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</si>
  <si>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</si>
  <si>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</si>
  <si>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</si>
  <si>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</si>
  <si>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</si>
  <si>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</si>
  <si>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</si>
  <si>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</si>
  <si>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</si>
  <si>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</si>
  <si>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</si>
  <si>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</si>
  <si>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</si>
  <si>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</si>
  <si>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</si>
  <si>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</si>
  <si>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</si>
  <si>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</si>
  <si>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</si>
  <si>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</si>
  <si>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</si>
  <si>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</si>
  <si>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</si>
  <si>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</si>
  <si>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</si>
  <si>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</si>
  <si>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</si>
  <si>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</si>
  <si>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</si>
  <si>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</si>
  <si>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</si>
  <si>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</si>
  <si>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</si>
  <si>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</si>
  <si>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</si>
  <si>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</si>
  <si>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</si>
  <si>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</si>
  <si>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</si>
  <si>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</si>
  <si>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</si>
  <si>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</si>
  <si>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</si>
  <si>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</si>
  <si>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</si>
  <si>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</si>
  <si>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</si>
  <si>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</si>
  <si>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</si>
  <si>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</si>
  <si>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</si>
  <si>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</si>
  <si>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</si>
  <si>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</si>
  <si>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</si>
  <si>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</si>
  <si>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</si>
  <si>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</si>
  <si>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</si>
  <si>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</si>
  <si>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</si>
  <si>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</si>
  <si>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</si>
  <si>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</si>
  <si>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</si>
  <si>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</si>
  <si>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</si>
  <si>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</si>
  <si>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</si>
  <si>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</si>
  <si>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</si>
  <si>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</si>
  <si>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</si>
  <si>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</si>
  <si>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</si>
  <si>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</si>
  <si>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</si>
  <si>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</si>
  <si>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</si>
  <si>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</si>
  <si>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</si>
  <si>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</si>
  <si>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</si>
  <si>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</si>
  <si>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</si>
  <si>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</si>
  <si>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</si>
  <si>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</si>
  <si>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</si>
  <si>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</si>
  <si>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</si>
  <si>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</si>
  <si>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</si>
  <si>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</si>
  <si>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</si>
  <si>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</si>
  <si>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</si>
  <si>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</si>
  <si>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</si>
  <si>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</si>
  <si>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</si>
  <si>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</si>
  <si>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</si>
  <si>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</si>
  <si>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</si>
  <si>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</si>
  <si>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</si>
  <si>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</si>
  <si>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</si>
  <si>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</si>
  <si>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</si>
  <si>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</si>
  <si>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</si>
  <si>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</si>
  <si>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</si>
  <si>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</si>
  <si>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</si>
  <si>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</si>
  <si>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</si>
  <si>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</si>
  <si>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</si>
  <si>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</si>
  <si>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</si>
  <si>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</si>
  <si>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</si>
  <si>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</si>
  <si>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</si>
  <si>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</si>
  <si>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</si>
  <si>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</si>
  <si>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</si>
  <si>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</si>
  <si>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</si>
  <si>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</si>
  <si>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</si>
  <si>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</si>
  <si>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</si>
  <si>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</si>
  <si>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</si>
  <si>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</si>
  <si>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</si>
  <si>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</si>
  <si>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</si>
  <si>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</si>
  <si>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</si>
  <si>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</si>
  <si>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</si>
  <si>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</si>
  <si>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</si>
  <si>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</si>
  <si>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</si>
  <si>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</si>
  <si>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</si>
  <si>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</si>
  <si>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</si>
  <si>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</si>
  <si>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</si>
  <si>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</si>
  <si>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</si>
  <si>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</si>
  <si>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</si>
  <si>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</si>
  <si>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</si>
  <si>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</si>
  <si>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</si>
  <si>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</si>
  <si>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</si>
  <si>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</si>
  <si>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</si>
  <si>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</si>
  <si>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</si>
  <si>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</si>
  <si>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</si>
  <si>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</si>
  <si>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</si>
  <si>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</si>
  <si>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</si>
  <si>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</si>
  <si>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</si>
  <si>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</si>
  <si>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</si>
  <si>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</si>
  <si>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</si>
  <si>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</si>
  <si>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</si>
  <si>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</si>
  <si>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</si>
  <si>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</si>
  <si>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</si>
  <si>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</si>
  <si>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</si>
  <si>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</si>
  <si>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</si>
  <si>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</si>
  <si>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</si>
  <si>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</si>
  <si>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</si>
  <si>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</si>
  <si>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</si>
  <si>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</si>
  <si>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</si>
  <si>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</si>
  <si>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</si>
  <si>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</si>
  <si>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</si>
  <si>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</si>
  <si>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</si>
  <si>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</si>
  <si>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</si>
  <si>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</si>
  <si>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</si>
  <si>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</si>
  <si>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</si>
  <si>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</si>
  <si>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</si>
  <si>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</si>
  <si>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</si>
  <si>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</si>
  <si>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</si>
  <si>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</si>
  <si>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</si>
  <si>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</si>
  <si>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</si>
  <si>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</si>
  <si>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</si>
  <si>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</si>
  <si>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</si>
  <si>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</si>
  <si>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</si>
  <si>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</si>
  <si>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</si>
  <si>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</si>
  <si>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</si>
  <si>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</si>
  <si>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</si>
  <si>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</si>
  <si>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</si>
  <si>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</si>
  <si>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</si>
  <si>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</si>
  <si>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</si>
  <si>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</si>
  <si>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</si>
  <si>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</si>
  <si>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</si>
  <si>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</si>
  <si>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</si>
  <si>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</si>
  <si>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</si>
  <si>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</si>
  <si>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</si>
  <si>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</si>
  <si>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</si>
  <si>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</si>
  <si>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</si>
  <si>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</si>
  <si>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</si>
  <si>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</si>
  <si>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</si>
  <si>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</si>
  <si>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</si>
  <si>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</si>
  <si>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</si>
  <si>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</si>
  <si>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</si>
  <si>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</si>
  <si>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</si>
  <si>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</si>
  <si>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</si>
  <si>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</si>
  <si>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</si>
  <si>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</si>
  <si>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</si>
  <si>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</si>
  <si>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</si>
  <si>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</si>
  <si>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</si>
  <si>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</si>
  <si>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</si>
  <si>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</si>
  <si>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</si>
  <si>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</si>
  <si>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</si>
  <si>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</si>
  <si>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</si>
  <si>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</si>
  <si>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</si>
  <si>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</si>
  <si>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</si>
  <si>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</si>
  <si>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</si>
  <si>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</si>
  <si>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</si>
  <si>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</si>
  <si>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</si>
  <si>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</si>
  <si>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</si>
  <si>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</si>
  <si>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</si>
  <si>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</si>
  <si>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</si>
  <si>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</si>
  <si>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</si>
  <si>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</si>
  <si>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</si>
  <si>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</si>
  <si>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</si>
  <si>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</si>
  <si>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</si>
  <si>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</si>
  <si>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</si>
  <si>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</si>
  <si>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</si>
  <si>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</si>
  <si>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</si>
  <si>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</si>
  <si>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</si>
  <si>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</si>
  <si>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</si>
  <si>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</si>
  <si>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</si>
  <si>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</si>
  <si>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</si>
  <si>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</si>
  <si>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</si>
  <si>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</si>
  <si>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</si>
  <si>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</si>
  <si>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</si>
  <si>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</si>
  <si>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</si>
  <si>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</si>
  <si>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</si>
  <si>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</si>
  <si>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</si>
  <si>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</si>
  <si>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</si>
  <si>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</si>
  <si>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</si>
  <si>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</si>
  <si>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</si>
  <si>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</si>
  <si>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</si>
  <si>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</si>
  <si>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</si>
  <si>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</si>
  <si>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</si>
  <si>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</si>
  <si>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</si>
  <si>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</si>
  <si>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</si>
  <si>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</si>
  <si>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</si>
  <si>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</si>
  <si>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</si>
  <si>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</si>
  <si>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</si>
  <si>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</si>
  <si>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</si>
  <si>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</si>
  <si>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</si>
  <si>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</si>
  <si>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</si>
  <si>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</si>
  <si>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</si>
  <si>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</si>
  <si>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</si>
  <si>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</si>
  <si>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</si>
  <si>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</si>
  <si>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</si>
  <si>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</si>
  <si>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</si>
  <si>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</si>
  <si>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</si>
  <si>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</si>
  <si>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</si>
  <si>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</si>
  <si>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</si>
  <si>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</si>
  <si>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</si>
  <si>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</si>
  <si>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</si>
  <si>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</si>
  <si>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</si>
  <si>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</si>
  <si>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</si>
  <si>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</si>
  <si>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</si>
  <si>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</si>
  <si>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</si>
  <si>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</si>
  <si>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</si>
  <si>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</si>
  <si>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</si>
  <si>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</si>
  <si>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</si>
  <si>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</si>
  <si>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</si>
  <si>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</si>
  <si>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</si>
  <si>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</si>
  <si>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Original Code - 2017</t>
  </si>
  <si>
    <t>Refactored Code - 2017</t>
  </si>
  <si>
    <t>Comparison</t>
  </si>
  <si>
    <t>Original Code - 2018</t>
  </si>
  <si>
    <t>Refactored Code - 2018</t>
  </si>
  <si>
    <t>Stock Analysis - 2017</t>
  </si>
  <si>
    <t>Stock Analysis - 2018</t>
  </si>
  <si>
    <t>Stock Analysis - 2018 vs 2017</t>
  </si>
  <si>
    <t>Return Difference 
(2018  - 2017)</t>
  </si>
  <si>
    <t>Total Daily Volume
Difference 
(2018 - 2017)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</si>
</sst>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&quot;$&quot;#,##0.00"/>
    <numFmt numFmtId="165" formatCode="0.0%"/>
    <numFmt numFmtId="167" formatCode="0.0000%"/>
    <numFmt numFmtId="171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1" fillId="0" borderId="2" xfId="0" applyFont="1" applyBorder="1"/>
    <xf numFmtId="10" fontId="0" fillId="3" borderId="0" xfId="0" applyNumberFormat="1" applyFill="1"/>
    <xf numFmtId="10" fontId="0" fillId="2" borderId="0" xfId="0" applyNumberFormat="1" applyFill="1"/>
    <xf numFmtId="3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  <xf numFmtId="165" fontId="0" fillId="0" borderId="0" xfId="0" applyNumberFormat="1"/>
    <xf numFmtId="9" fontId="0" fillId="0" borderId="0" xfId="2" applyFont="1"/>
    <xf numFmtId="167" fontId="0" fillId="0" borderId="0" xfId="2" applyNumberFormat="1" applyFont="1"/>
    <xf numFmtId="167" fontId="1" fillId="0" borderId="2" xfId="2" applyNumberFormat="1" applyFont="1" applyBorder="1"/>
    <xf numFmtId="0" fontId="4" fillId="6" borderId="2" xfId="0" applyFont="1" applyFill="1" applyBorder="1" applyAlignment="1">
      <alignment horizontal="center"/>
    </xf>
    <xf numFmtId="0" fontId="5" fillId="8" borderId="0" xfId="0" applyFont="1" applyFill="1" applyBorder="1"/>
    <xf numFmtId="0" fontId="0" fillId="8" borderId="0" xfId="0" applyFill="1"/>
    <xf numFmtId="3" fontId="0" fillId="8" borderId="0" xfId="0" applyNumberFormat="1" applyFill="1"/>
    <xf numFmtId="165" fontId="0" fillId="8" borderId="0" xfId="0" applyNumberFormat="1" applyFill="1"/>
    <xf numFmtId="9" fontId="0" fillId="8" borderId="0" xfId="2" applyFont="1" applyFill="1"/>
    <xf numFmtId="171" fontId="0" fillId="0" borderId="0" xfId="1" applyNumberFormat="1" applyFont="1"/>
    <xf numFmtId="0" fontId="1" fillId="0" borderId="2" xfId="0" applyFont="1" applyBorder="1" applyAlignment="1">
      <alignment vertical="center"/>
    </xf>
    <xf numFmtId="0" fontId="0" fillId="0" borderId="0" xfId="0" applyAlignment="1">
      <alignment vertical="center"/>
    </xf>
    <xf numFmtId="167" fontId="1" fillId="0" borderId="2" xfId="2" applyNumberFormat="1" applyFont="1" applyBorder="1" applyAlignment="1">
      <alignment vertical="center"/>
    </xf>
    <xf numFmtId="0" fontId="5" fillId="8" borderId="0" xfId="0" applyFont="1" applyFill="1" applyBorder="1" applyAlignment="1">
      <alignment vertical="center"/>
    </xf>
    <xf numFmtId="0" fontId="1" fillId="7" borderId="2" xfId="0" applyFont="1" applyFill="1" applyBorder="1" applyAlignment="1">
      <alignment vertical="center"/>
    </xf>
    <xf numFmtId="0" fontId="0" fillId="8" borderId="0" xfId="0" applyFill="1" applyAlignment="1">
      <alignment vertical="center"/>
    </xf>
    <xf numFmtId="0" fontId="1" fillId="7" borderId="2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83820</xdr:rowOff>
        </xdr:from>
        <xdr:to>
          <xdr:col>8</xdr:col>
          <xdr:colOff>335280</xdr:colOff>
          <xdr:row>5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38100</xdr:rowOff>
        </xdr:from>
        <xdr:to>
          <xdr:col>8</xdr:col>
          <xdr:colOff>365760</xdr:colOff>
          <xdr:row>10</xdr:row>
          <xdr:rowOff>60960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10</xdr:col>
          <xdr:colOff>487680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ORIGINAL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586740</xdr:colOff>
          <xdr:row>10</xdr:row>
          <xdr:rowOff>0</xdr:rowOff>
        </xdr:from>
        <xdr:to>
          <xdr:col>9</xdr:col>
          <xdr:colOff>586740</xdr:colOff>
          <xdr:row>12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5</xdr:row>
          <xdr:rowOff>175260</xdr:rowOff>
        </xdr:from>
        <xdr:to>
          <xdr:col>10</xdr:col>
          <xdr:colOff>472440</xdr:colOff>
          <xdr:row>8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92D44D4-F896-4B1A-BEDB-107B3A6DE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REFACTORED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1" sqref="B1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H11" sqref="H11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681E-B64F-463D-B29F-FE142A2CE945}">
  <sheetPr codeName="Sheet3"/>
  <dimension ref="A1"/>
  <sheetViews>
    <sheetView workbookViewId="0">
      <selection activeCell="E15" sqref="E15"/>
    </sheetView>
  </sheetViews>
  <sheetFormatPr defaultRowHeight="14.4" x14ac:dyDescent="0.3"/>
  <cols>
    <col min="2" max="2" width="16.4414062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5</xdr:col>
                    <xdr:colOff>76200</xdr:colOff>
                    <xdr:row>2</xdr:row>
                    <xdr:rowOff>83820</xdr:rowOff>
                  </from>
                  <to>
                    <xdr:col>8</xdr:col>
                    <xdr:colOff>335280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76200</xdr:colOff>
                    <xdr:row>7</xdr:row>
                    <xdr:rowOff>38100</xdr:rowOff>
                  </from>
                  <to>
                    <xdr:col>8</xdr:col>
                    <xdr:colOff>365760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152BC-5EE7-4D8B-9C14-C255AEBC317F}">
  <sheetPr codeName="Sheet4"/>
  <dimension ref="A1:C15"/>
  <sheetViews>
    <sheetView tabSelected="1" workbookViewId="0">
      <selection activeCell="C6" sqref="C6"/>
    </sheetView>
  </sheetViews>
  <sheetFormatPr defaultRowHeight="14.4" x14ac:dyDescent="0.3"/>
  <cols>
    <col min="2" max="2" width="16.88671875" bestFit="1" customWidth="1"/>
    <col min="3" max="3" width="8" bestFit="1" customWidth="1"/>
  </cols>
  <sheetData>
    <row r="1" spans="1:3" x14ac:dyDescent="0.3">
      <c r="A1" t="s">
        <v>524</v>
      </c>
    </row>
    <row r="3" spans="1:3" x14ac:dyDescent="0.3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8">
        <v>136070900</v>
      </c>
      <c r="C4" s="10">
        <v>8.9368253946304321E-2</v>
      </c>
    </row>
    <row r="5" spans="1:3" x14ac:dyDescent="0.3">
      <c r="A5" t="s">
        <v>9</v>
      </c>
      <c r="B5" s="8">
        <v>310592800</v>
      </c>
      <c r="C5" s="10">
        <v>0.33070248365402222</v>
      </c>
    </row>
    <row r="6" spans="1:3" x14ac:dyDescent="0.3">
      <c r="A6" t="s">
        <v>10</v>
      </c>
      <c r="B6" s="8">
        <v>35796200</v>
      </c>
      <c r="C6" s="10">
        <v>1.9944583177566528</v>
      </c>
    </row>
    <row r="7" spans="1:3" x14ac:dyDescent="0.3">
      <c r="A7" t="s">
        <v>11</v>
      </c>
      <c r="B7" s="8">
        <v>221772100</v>
      </c>
      <c r="C7" s="10">
        <v>1.2952382564544678</v>
      </c>
    </row>
    <row r="8" spans="1:3" x14ac:dyDescent="0.3">
      <c r="A8" t="s">
        <v>12</v>
      </c>
      <c r="B8" s="8">
        <v>684181400</v>
      </c>
      <c r="C8" s="10">
        <v>1.0131185054779053</v>
      </c>
    </row>
    <row r="9" spans="1:3" x14ac:dyDescent="0.3">
      <c r="A9" t="s">
        <v>13</v>
      </c>
      <c r="B9" s="8">
        <v>80949300</v>
      </c>
      <c r="C9" s="10">
        <v>0.2583681046962738</v>
      </c>
    </row>
    <row r="10" spans="1:3" x14ac:dyDescent="0.3">
      <c r="A10" t="s">
        <v>14</v>
      </c>
      <c r="B10" s="8">
        <v>191632200</v>
      </c>
      <c r="C10" s="10">
        <v>0.53870755434036255</v>
      </c>
    </row>
    <row r="11" spans="1:3" x14ac:dyDescent="0.3">
      <c r="A11" t="s">
        <v>15</v>
      </c>
      <c r="B11" s="8">
        <v>267681300</v>
      </c>
      <c r="C11" s="10">
        <v>5.5456161499023438E-2</v>
      </c>
    </row>
    <row r="12" spans="1:3" x14ac:dyDescent="0.3">
      <c r="A12" t="s">
        <v>16</v>
      </c>
      <c r="B12" s="8">
        <v>206885200</v>
      </c>
      <c r="C12" s="10">
        <v>1.8446969985961914</v>
      </c>
    </row>
    <row r="13" spans="1:3" x14ac:dyDescent="0.3">
      <c r="A13" t="s">
        <v>17</v>
      </c>
      <c r="B13" s="8">
        <v>782187000</v>
      </c>
      <c r="C13" s="10">
        <v>0.23065699636936188</v>
      </c>
    </row>
    <row r="14" spans="1:3" x14ac:dyDescent="0.3">
      <c r="A14" t="s">
        <v>18</v>
      </c>
      <c r="B14" s="8">
        <v>139402800</v>
      </c>
      <c r="C14" s="9">
        <v>-7.2148971259593964E-2</v>
      </c>
    </row>
    <row r="15" spans="1:3" x14ac:dyDescent="0.3">
      <c r="A15" t="s">
        <v>19</v>
      </c>
      <c r="B15" s="8">
        <v>109487900</v>
      </c>
      <c r="C15" s="10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487680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6</xdr:col>
                    <xdr:colOff>586740</xdr:colOff>
                    <xdr:row>10</xdr:row>
                    <xdr:rowOff>0</xdr:rowOff>
                  </from>
                  <to>
                    <xdr:col>9</xdr:col>
                    <xdr:colOff>586740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>
                  <from>
                    <xdr:col>5</xdr:col>
                    <xdr:colOff>594360</xdr:colOff>
                    <xdr:row>5</xdr:row>
                    <xdr:rowOff>175260</xdr:rowOff>
                  </from>
                  <to>
                    <xdr:col>10</xdr:col>
                    <xdr:colOff>472440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23B-0473-40E8-BC6E-EDA319500C9C}">
  <sheetPr codeName="Sheet5"/>
  <dimension ref="A1:H8"/>
  <sheetViews>
    <sheetView workbookViewId="0">
      <selection activeCell="M11" sqref="M11"/>
    </sheetView>
  </sheetViews>
  <sheetFormatPr defaultRowHeight="14.4" x14ac:dyDescent="0.3"/>
  <cols>
    <col min="1" max="8" width="2.44140625" customWidth="1"/>
  </cols>
  <sheetData>
    <row r="1" spans="1:8" ht="12.75" customHeight="1" x14ac:dyDescent="0.3">
      <c r="A1" s="3"/>
      <c r="B1" s="4"/>
      <c r="C1" s="3"/>
      <c r="D1" s="4"/>
      <c r="E1" s="3"/>
      <c r="F1" s="4"/>
      <c r="G1" s="3"/>
      <c r="H1" s="4"/>
    </row>
    <row r="2" spans="1:8" ht="12.75" customHeight="1" x14ac:dyDescent="0.3">
      <c r="A2" s="4"/>
      <c r="B2" s="3"/>
      <c r="C2" s="4"/>
      <c r="D2" s="3"/>
      <c r="E2" s="4"/>
      <c r="F2" s="3"/>
      <c r="G2" s="4"/>
      <c r="H2" s="3"/>
    </row>
    <row r="3" spans="1:8" ht="12.75" customHeight="1" x14ac:dyDescent="0.3">
      <c r="A3" s="3"/>
      <c r="B3" s="4"/>
      <c r="C3" s="3"/>
      <c r="D3" s="4"/>
      <c r="E3" s="3"/>
      <c r="F3" s="4"/>
      <c r="G3" s="3"/>
      <c r="H3" s="4"/>
    </row>
    <row r="4" spans="1:8" ht="12.75" customHeight="1" x14ac:dyDescent="0.3">
      <c r="A4" s="4"/>
      <c r="B4" s="3"/>
      <c r="C4" s="4"/>
      <c r="D4" s="3"/>
      <c r="E4" s="4"/>
      <c r="F4" s="3"/>
      <c r="G4" s="4"/>
      <c r="H4" s="3"/>
    </row>
    <row r="5" spans="1:8" ht="12.75" customHeight="1" x14ac:dyDescent="0.3">
      <c r="A5" s="3"/>
      <c r="B5" s="4"/>
      <c r="C5" s="3"/>
      <c r="D5" s="4"/>
      <c r="E5" s="3"/>
      <c r="F5" s="4"/>
      <c r="G5" s="3"/>
      <c r="H5" s="4"/>
    </row>
    <row r="6" spans="1:8" ht="12.75" customHeight="1" x14ac:dyDescent="0.3">
      <c r="A6" s="4"/>
      <c r="B6" s="3"/>
      <c r="C6" s="4"/>
      <c r="D6" s="3"/>
      <c r="E6" s="4"/>
      <c r="F6" s="3"/>
      <c r="G6" s="4"/>
      <c r="H6" s="3"/>
    </row>
    <row r="7" spans="1:8" ht="12.75" customHeight="1" x14ac:dyDescent="0.3">
      <c r="A7" s="3"/>
      <c r="B7" s="4"/>
      <c r="C7" s="3"/>
      <c r="D7" s="4"/>
      <c r="E7" s="3"/>
      <c r="F7" s="4"/>
      <c r="G7" s="3"/>
      <c r="H7" s="4"/>
    </row>
    <row r="8" spans="1:8" ht="12.75" customHeight="1" x14ac:dyDescent="0.3">
      <c r="A8" s="4"/>
      <c r="B8" s="3"/>
      <c r="C8" s="4"/>
      <c r="D8" s="3"/>
      <c r="E8" s="4"/>
      <c r="F8" s="3"/>
      <c r="G8" s="4"/>
      <c r="H8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7DF6-00FA-4356-ACB8-940B20D14F61}">
  <dimension ref="A1:X30"/>
  <sheetViews>
    <sheetView topLeftCell="G1" workbookViewId="0">
      <selection activeCell="O15" sqref="O4:O15"/>
    </sheetView>
  </sheetViews>
  <sheetFormatPr defaultRowHeight="14.4" x14ac:dyDescent="0.3"/>
  <cols>
    <col min="1" max="1" width="11.88671875" bestFit="1" customWidth="1"/>
    <col min="2" max="2" width="16.88671875" bestFit="1" customWidth="1"/>
    <col min="3" max="3" width="8" bestFit="1" customWidth="1"/>
    <col min="5" max="5" width="8.6640625" customWidth="1"/>
    <col min="6" max="6" width="16.88671875" bestFit="1" customWidth="1"/>
    <col min="7" max="7" width="9" bestFit="1" customWidth="1"/>
    <col min="9" max="9" width="13.33203125" bestFit="1" customWidth="1"/>
    <col min="11" max="11" width="9.6640625" style="13" bestFit="1" customWidth="1"/>
    <col min="12" max="12" width="8.88671875" style="16"/>
    <col min="13" max="13" width="6.109375" bestFit="1" customWidth="1"/>
    <col min="14" max="14" width="17.44140625" bestFit="1" customWidth="1"/>
    <col min="15" max="15" width="7" bestFit="1" customWidth="1"/>
    <col min="16" max="16" width="5.77734375" style="17" customWidth="1"/>
    <col min="17" max="17" width="6.109375" bestFit="1" customWidth="1"/>
    <col min="18" max="18" width="17.44140625" bestFit="1" customWidth="1"/>
    <col min="19" max="19" width="6.77734375" bestFit="1" customWidth="1"/>
    <col min="20" max="20" width="5.77734375" style="16" customWidth="1"/>
    <col min="21" max="21" width="11.5546875" style="16" bestFit="1" customWidth="1"/>
    <col min="22" max="22" width="17.44140625" bestFit="1" customWidth="1"/>
    <col min="23" max="23" width="8.109375" customWidth="1"/>
    <col min="24" max="24" width="12.109375" customWidth="1"/>
  </cols>
  <sheetData>
    <row r="1" spans="1:24" x14ac:dyDescent="0.3">
      <c r="M1" s="17"/>
      <c r="N1" s="17"/>
      <c r="O1" s="17"/>
      <c r="Q1" s="17"/>
      <c r="R1" s="17"/>
      <c r="S1" s="17"/>
      <c r="V1" s="17"/>
      <c r="W1" s="17"/>
    </row>
    <row r="2" spans="1:24" x14ac:dyDescent="0.3">
      <c r="A2" t="s">
        <v>525</v>
      </c>
      <c r="E2" t="s">
        <v>526</v>
      </c>
      <c r="I2" t="s">
        <v>527</v>
      </c>
      <c r="M2" s="15" t="s">
        <v>530</v>
      </c>
      <c r="N2" s="15"/>
      <c r="O2" s="15"/>
      <c r="Q2" s="15" t="s">
        <v>531</v>
      </c>
      <c r="R2" s="15"/>
      <c r="S2" s="15"/>
      <c r="U2" s="15" t="s">
        <v>532</v>
      </c>
      <c r="V2" s="15"/>
      <c r="W2" s="15"/>
      <c r="X2" s="15"/>
    </row>
    <row r="3" spans="1:24" s="23" customFormat="1" ht="45" customHeight="1" x14ac:dyDescent="0.3">
      <c r="A3" s="22" t="s">
        <v>0</v>
      </c>
      <c r="B3" s="22" t="s">
        <v>522</v>
      </c>
      <c r="C3" s="22" t="s">
        <v>523</v>
      </c>
      <c r="E3" s="22" t="s">
        <v>0</v>
      </c>
      <c r="F3" s="22" t="s">
        <v>522</v>
      </c>
      <c r="G3" s="22" t="s">
        <v>523</v>
      </c>
      <c r="I3" s="22" t="s">
        <v>0</v>
      </c>
      <c r="J3" s="22" t="s">
        <v>522</v>
      </c>
      <c r="K3" s="24" t="s">
        <v>523</v>
      </c>
      <c r="L3" s="25"/>
      <c r="M3" s="26" t="s">
        <v>0</v>
      </c>
      <c r="N3" s="26" t="s">
        <v>522</v>
      </c>
      <c r="O3" s="26" t="s">
        <v>523</v>
      </c>
      <c r="P3" s="27"/>
      <c r="Q3" s="26" t="s">
        <v>0</v>
      </c>
      <c r="R3" s="26" t="s">
        <v>522</v>
      </c>
      <c r="S3" s="26" t="s">
        <v>523</v>
      </c>
      <c r="T3" s="25"/>
      <c r="U3" s="26" t="s">
        <v>0</v>
      </c>
      <c r="V3" s="28" t="s">
        <v>534</v>
      </c>
      <c r="W3" s="28"/>
      <c r="X3" s="28" t="s">
        <v>533</v>
      </c>
    </row>
    <row r="4" spans="1:24" x14ac:dyDescent="0.3">
      <c r="A4" t="s">
        <v>8</v>
      </c>
      <c r="B4" s="2">
        <v>136070900</v>
      </c>
      <c r="C4" s="7">
        <v>8.9368263449833688E-2</v>
      </c>
      <c r="E4" t="s">
        <v>8</v>
      </c>
      <c r="F4" s="8">
        <v>136070900</v>
      </c>
      <c r="G4" s="10">
        <v>8.9368253946304321E-2</v>
      </c>
      <c r="I4" t="str">
        <f>IF(A4&lt;&gt;E4,"Check Me","No Differences")</f>
        <v>No Differences</v>
      </c>
      <c r="J4" s="2">
        <f>B4-F4</f>
        <v>0</v>
      </c>
      <c r="K4" s="13">
        <f>C4-G4</f>
        <v>9.5035293662393272E-9</v>
      </c>
      <c r="M4" t="s">
        <v>8</v>
      </c>
      <c r="N4" s="8">
        <v>136070900</v>
      </c>
      <c r="O4" s="10">
        <v>8.9368253946304321E-2</v>
      </c>
      <c r="Q4" t="s">
        <v>8</v>
      </c>
      <c r="R4" s="8">
        <v>83079900</v>
      </c>
      <c r="S4" s="9">
        <v>-7.2847634553909302E-2</v>
      </c>
      <c r="U4" t="s">
        <v>8</v>
      </c>
      <c r="V4" s="21">
        <f>R4-N4</f>
        <v>-52991000</v>
      </c>
      <c r="W4" s="12">
        <f>V4/N4</f>
        <v>-0.38943668337609288</v>
      </c>
      <c r="X4" s="11">
        <f>S4-O4</f>
        <v>-0.16221588850021362</v>
      </c>
    </row>
    <row r="5" spans="1:24" x14ac:dyDescent="0.3">
      <c r="A5" t="s">
        <v>9</v>
      </c>
      <c r="B5" s="2">
        <v>310592800</v>
      </c>
      <c r="C5" s="7">
        <v>0.3307025256511445</v>
      </c>
      <c r="E5" t="s">
        <v>9</v>
      </c>
      <c r="F5" s="8">
        <v>310592800</v>
      </c>
      <c r="G5" s="10">
        <v>0.33070248365402222</v>
      </c>
      <c r="I5" t="str">
        <f t="shared" ref="I5:I15" si="0">IF(A5&lt;&gt;E5,"Check Me","No Differences")</f>
        <v>No Differences</v>
      </c>
      <c r="J5" s="2">
        <f t="shared" ref="J5:J15" si="1">B5-F5</f>
        <v>0</v>
      </c>
      <c r="K5" s="13">
        <f t="shared" ref="K5:K15" si="2">C5-G5</f>
        <v>4.1997122279813226E-8</v>
      </c>
      <c r="M5" t="s">
        <v>9</v>
      </c>
      <c r="N5" s="8">
        <v>310592800</v>
      </c>
      <c r="O5" s="10">
        <v>0.33070248365402222</v>
      </c>
      <c r="Q5" t="s">
        <v>9</v>
      </c>
      <c r="R5" s="8">
        <v>200879900</v>
      </c>
      <c r="S5" s="9">
        <v>-0.16336052119731903</v>
      </c>
      <c r="U5" t="s">
        <v>9</v>
      </c>
      <c r="V5" s="21">
        <f t="shared" ref="V5:V15" si="3">R5-N5</f>
        <v>-109712900</v>
      </c>
      <c r="W5" s="12">
        <f t="shared" ref="W5:W15" si="4">V5/N5</f>
        <v>-0.35323710015170989</v>
      </c>
      <c r="X5" s="11">
        <f t="shared" ref="X5:X15" si="5">S5-O5</f>
        <v>-0.49406300485134125</v>
      </c>
    </row>
    <row r="6" spans="1:24" x14ac:dyDescent="0.3">
      <c r="A6" t="s">
        <v>10</v>
      </c>
      <c r="B6" s="2">
        <v>35796200</v>
      </c>
      <c r="C6" s="7">
        <v>1.9944583879093196</v>
      </c>
      <c r="E6" t="s">
        <v>10</v>
      </c>
      <c r="F6" s="8">
        <v>35796200</v>
      </c>
      <c r="G6" s="10">
        <v>1.9944583177566528</v>
      </c>
      <c r="I6" t="str">
        <f t="shared" si="0"/>
        <v>No Differences</v>
      </c>
      <c r="J6" s="2">
        <f t="shared" si="1"/>
        <v>0</v>
      </c>
      <c r="K6" s="13">
        <f t="shared" si="2"/>
        <v>7.0152666786782447E-8</v>
      </c>
      <c r="M6" t="s">
        <v>10</v>
      </c>
      <c r="N6" s="8">
        <v>35796200</v>
      </c>
      <c r="O6" s="10">
        <v>1.9944583177566528</v>
      </c>
      <c r="Q6" t="s">
        <v>10</v>
      </c>
      <c r="R6" s="8">
        <v>107873900</v>
      </c>
      <c r="S6" s="9">
        <v>-0.62601888179779053</v>
      </c>
      <c r="U6" t="s">
        <v>10</v>
      </c>
      <c r="V6" s="21">
        <f t="shared" si="3"/>
        <v>72077700</v>
      </c>
      <c r="W6" s="12">
        <f t="shared" si="4"/>
        <v>2.0135573049653317</v>
      </c>
      <c r="X6" s="11">
        <f t="shared" si="5"/>
        <v>-2.6204771995544434</v>
      </c>
    </row>
    <row r="7" spans="1:24" x14ac:dyDescent="0.3">
      <c r="A7" t="s">
        <v>11</v>
      </c>
      <c r="B7" s="2">
        <v>221772100</v>
      </c>
      <c r="C7" s="7">
        <v>1.2952380952380953</v>
      </c>
      <c r="E7" t="s">
        <v>11</v>
      </c>
      <c r="F7" s="8">
        <v>221772100</v>
      </c>
      <c r="G7" s="10">
        <v>1.2952382564544678</v>
      </c>
      <c r="I7" t="str">
        <f t="shared" si="0"/>
        <v>No Differences</v>
      </c>
      <c r="J7" s="2">
        <f t="shared" si="1"/>
        <v>0</v>
      </c>
      <c r="K7" s="13">
        <f t="shared" si="2"/>
        <v>-1.6121637247401566E-7</v>
      </c>
      <c r="M7" t="s">
        <v>11</v>
      </c>
      <c r="N7" s="8">
        <v>221772100</v>
      </c>
      <c r="O7" s="10">
        <v>1.2952382564544678</v>
      </c>
      <c r="Q7" t="s">
        <v>11</v>
      </c>
      <c r="R7" s="8">
        <v>607473500</v>
      </c>
      <c r="S7" s="10">
        <v>0.81923085451126099</v>
      </c>
      <c r="U7" t="s">
        <v>11</v>
      </c>
      <c r="V7" s="21">
        <f t="shared" si="3"/>
        <v>385701400</v>
      </c>
      <c r="W7" s="12">
        <f t="shared" si="4"/>
        <v>1.7391790942142857</v>
      </c>
      <c r="X7" s="11">
        <f t="shared" si="5"/>
        <v>-0.47600740194320679</v>
      </c>
    </row>
    <row r="8" spans="1:24" x14ac:dyDescent="0.3">
      <c r="A8" t="s">
        <v>12</v>
      </c>
      <c r="B8" s="2">
        <v>684181400</v>
      </c>
      <c r="C8" s="7">
        <v>1.0131185148145945</v>
      </c>
      <c r="E8" t="s">
        <v>12</v>
      </c>
      <c r="F8" s="8">
        <v>684181400</v>
      </c>
      <c r="G8" s="10">
        <v>1.0131185054779053</v>
      </c>
      <c r="I8" t="str">
        <f t="shared" si="0"/>
        <v>No Differences</v>
      </c>
      <c r="J8" s="2">
        <f t="shared" si="1"/>
        <v>0</v>
      </c>
      <c r="K8" s="13">
        <f t="shared" si="2"/>
        <v>9.3366891995572132E-9</v>
      </c>
      <c r="M8" t="s">
        <v>12</v>
      </c>
      <c r="N8" s="8">
        <v>684181400</v>
      </c>
      <c r="O8" s="10">
        <v>1.0131185054779053</v>
      </c>
      <c r="Q8" t="s">
        <v>12</v>
      </c>
      <c r="R8" s="8">
        <v>478113900</v>
      </c>
      <c r="S8" s="9">
        <v>-0.39713191986083984</v>
      </c>
      <c r="U8" t="s">
        <v>12</v>
      </c>
      <c r="V8" s="21">
        <f t="shared" si="3"/>
        <v>-206067500</v>
      </c>
      <c r="W8" s="12">
        <f t="shared" si="4"/>
        <v>-0.3011883982815084</v>
      </c>
      <c r="X8" s="11">
        <f t="shared" si="5"/>
        <v>-1.4102504253387451</v>
      </c>
    </row>
    <row r="9" spans="1:24" x14ac:dyDescent="0.3">
      <c r="A9" t="s">
        <v>13</v>
      </c>
      <c r="B9" s="2">
        <v>80949300</v>
      </c>
      <c r="C9" s="7">
        <v>0.25836808272133477</v>
      </c>
      <c r="E9" t="s">
        <v>13</v>
      </c>
      <c r="F9" s="8">
        <v>80949300</v>
      </c>
      <c r="G9" s="10">
        <v>0.2583681046962738</v>
      </c>
      <c r="I9" t="str">
        <f t="shared" si="0"/>
        <v>No Differences</v>
      </c>
      <c r="J9" s="2">
        <f t="shared" si="1"/>
        <v>0</v>
      </c>
      <c r="K9" s="13">
        <f t="shared" si="2"/>
        <v>-2.197493903510761E-8</v>
      </c>
      <c r="M9" t="s">
        <v>13</v>
      </c>
      <c r="N9" s="8">
        <v>80949300</v>
      </c>
      <c r="O9" s="10">
        <v>0.2583681046962738</v>
      </c>
      <c r="Q9" t="s">
        <v>13</v>
      </c>
      <c r="R9" s="8">
        <v>104340600</v>
      </c>
      <c r="S9" s="9">
        <v>-0.20658062398433685</v>
      </c>
      <c r="U9" t="s">
        <v>13</v>
      </c>
      <c r="V9" s="21">
        <f t="shared" si="3"/>
        <v>23391300</v>
      </c>
      <c r="W9" s="12">
        <f t="shared" si="4"/>
        <v>0.28896235050828112</v>
      </c>
      <c r="X9" s="11">
        <f t="shared" si="5"/>
        <v>-0.46494872868061066</v>
      </c>
    </row>
    <row r="10" spans="1:24" x14ac:dyDescent="0.3">
      <c r="A10" t="s">
        <v>14</v>
      </c>
      <c r="B10" s="2">
        <v>191632200</v>
      </c>
      <c r="C10" s="7">
        <v>0.53870754958413303</v>
      </c>
      <c r="E10" t="s">
        <v>14</v>
      </c>
      <c r="F10" s="8">
        <v>191632200</v>
      </c>
      <c r="G10" s="10">
        <v>0.53870755434036255</v>
      </c>
      <c r="I10" t="str">
        <f t="shared" si="0"/>
        <v>No Differences</v>
      </c>
      <c r="J10" s="2">
        <f t="shared" si="1"/>
        <v>0</v>
      </c>
      <c r="K10" s="13">
        <f t="shared" si="2"/>
        <v>-4.7562295213410266E-9</v>
      </c>
      <c r="M10" t="s">
        <v>14</v>
      </c>
      <c r="N10" s="8">
        <v>191632200</v>
      </c>
      <c r="O10" s="10">
        <v>0.53870755434036255</v>
      </c>
      <c r="Q10" t="s">
        <v>14</v>
      </c>
      <c r="R10" s="8">
        <v>158309000</v>
      </c>
      <c r="S10" s="9">
        <v>-0.6053471565246582</v>
      </c>
      <c r="U10" t="s">
        <v>14</v>
      </c>
      <c r="V10" s="21">
        <f t="shared" si="3"/>
        <v>-33323200</v>
      </c>
      <c r="W10" s="12">
        <f t="shared" si="4"/>
        <v>-0.17389144413099678</v>
      </c>
      <c r="X10" s="11">
        <f t="shared" si="5"/>
        <v>-1.1440547108650208</v>
      </c>
    </row>
    <row r="11" spans="1:24" x14ac:dyDescent="0.3">
      <c r="A11" t="s">
        <v>15</v>
      </c>
      <c r="B11" s="2">
        <v>267681300</v>
      </c>
      <c r="C11" s="7">
        <v>5.5456171735241595E-2</v>
      </c>
      <c r="E11" t="s">
        <v>15</v>
      </c>
      <c r="F11" s="8">
        <v>267681300</v>
      </c>
      <c r="G11" s="10">
        <v>5.5456161499023438E-2</v>
      </c>
      <c r="I11" t="str">
        <f t="shared" si="0"/>
        <v>No Differences</v>
      </c>
      <c r="J11" s="2">
        <f t="shared" si="1"/>
        <v>0</v>
      </c>
      <c r="K11" s="13">
        <f t="shared" si="2"/>
        <v>1.0236218157821941E-8</v>
      </c>
      <c r="M11" t="s">
        <v>15</v>
      </c>
      <c r="N11" s="8">
        <v>267681300</v>
      </c>
      <c r="O11" s="10">
        <v>5.5456161499023438E-2</v>
      </c>
      <c r="Q11" t="s">
        <v>15</v>
      </c>
      <c r="R11" s="8">
        <v>502757100</v>
      </c>
      <c r="S11" s="10">
        <v>0.83952707052230835</v>
      </c>
      <c r="U11" t="s">
        <v>15</v>
      </c>
      <c r="V11" s="21">
        <f t="shared" si="3"/>
        <v>235075800</v>
      </c>
      <c r="W11" s="12">
        <f t="shared" si="4"/>
        <v>0.87819283603299891</v>
      </c>
      <c r="X11" s="11">
        <f t="shared" si="5"/>
        <v>0.78407090902328491</v>
      </c>
    </row>
    <row r="12" spans="1:24" x14ac:dyDescent="0.3">
      <c r="A12" t="s">
        <v>16</v>
      </c>
      <c r="B12" s="2">
        <v>206885200</v>
      </c>
      <c r="C12" s="7">
        <v>1.8446968939393942</v>
      </c>
      <c r="E12" t="s">
        <v>16</v>
      </c>
      <c r="F12" s="8">
        <v>206885200</v>
      </c>
      <c r="G12" s="10">
        <v>1.8446969985961914</v>
      </c>
      <c r="I12" t="str">
        <f t="shared" si="0"/>
        <v>No Differences</v>
      </c>
      <c r="J12" s="2">
        <f t="shared" si="1"/>
        <v>0</v>
      </c>
      <c r="K12" s="13">
        <f t="shared" si="2"/>
        <v>-1.046567972284862E-7</v>
      </c>
      <c r="M12" t="s">
        <v>16</v>
      </c>
      <c r="N12" s="8">
        <v>206885200</v>
      </c>
      <c r="O12" s="10">
        <v>1.8446969985961914</v>
      </c>
      <c r="Q12" t="s">
        <v>16</v>
      </c>
      <c r="R12" s="8">
        <v>237212300</v>
      </c>
      <c r="S12" s="9">
        <v>-7.7529586851596832E-2</v>
      </c>
      <c r="U12" t="s">
        <v>16</v>
      </c>
      <c r="V12" s="21">
        <f t="shared" si="3"/>
        <v>30327100</v>
      </c>
      <c r="W12" s="12">
        <f t="shared" si="4"/>
        <v>0.14658902618456998</v>
      </c>
      <c r="X12" s="11">
        <f t="shared" si="5"/>
        <v>-1.9222265854477882</v>
      </c>
    </row>
    <row r="13" spans="1:24" x14ac:dyDescent="0.3">
      <c r="A13" t="s">
        <v>17</v>
      </c>
      <c r="B13" s="2">
        <v>782187000</v>
      </c>
      <c r="C13" s="7">
        <v>0.23065693430656936</v>
      </c>
      <c r="E13" t="s">
        <v>17</v>
      </c>
      <c r="F13" s="8">
        <v>782187000</v>
      </c>
      <c r="G13" s="10">
        <v>0.23065699636936188</v>
      </c>
      <c r="I13" t="str">
        <f t="shared" si="0"/>
        <v>No Differences</v>
      </c>
      <c r="J13" s="2">
        <f t="shared" si="1"/>
        <v>0</v>
      </c>
      <c r="K13" s="13">
        <f t="shared" si="2"/>
        <v>-6.2062792516304199E-8</v>
      </c>
      <c r="M13" t="s">
        <v>17</v>
      </c>
      <c r="N13" s="8">
        <v>782187000</v>
      </c>
      <c r="O13" s="10">
        <v>0.23065699636936188</v>
      </c>
      <c r="Q13" t="s">
        <v>17</v>
      </c>
      <c r="R13" s="8">
        <v>538024300</v>
      </c>
      <c r="S13" s="9">
        <v>-0.44593092799186707</v>
      </c>
      <c r="U13" t="s">
        <v>17</v>
      </c>
      <c r="V13" s="21">
        <f t="shared" si="3"/>
        <v>-244162700</v>
      </c>
      <c r="W13" s="12">
        <f t="shared" si="4"/>
        <v>-0.31215387113311777</v>
      </c>
      <c r="X13" s="11">
        <f t="shared" si="5"/>
        <v>-0.67658792436122894</v>
      </c>
    </row>
    <row r="14" spans="1:24" x14ac:dyDescent="0.3">
      <c r="A14" t="s">
        <v>18</v>
      </c>
      <c r="B14" s="2">
        <v>139402800</v>
      </c>
      <c r="C14" s="6">
        <v>-7.2148952676493378E-2</v>
      </c>
      <c r="E14" t="s">
        <v>18</v>
      </c>
      <c r="F14" s="8">
        <v>139402800</v>
      </c>
      <c r="G14" s="9">
        <v>-7.2148971259593964E-2</v>
      </c>
      <c r="I14" t="str">
        <f t="shared" si="0"/>
        <v>No Differences</v>
      </c>
      <c r="J14" s="2">
        <f t="shared" si="1"/>
        <v>0</v>
      </c>
      <c r="K14" s="13">
        <f t="shared" si="2"/>
        <v>1.8583100586111456E-8</v>
      </c>
      <c r="M14" t="s">
        <v>18</v>
      </c>
      <c r="N14" s="8">
        <v>139402800</v>
      </c>
      <c r="O14" s="9">
        <v>-7.2148971259593964E-2</v>
      </c>
      <c r="Q14" t="s">
        <v>18</v>
      </c>
      <c r="R14" s="8">
        <v>151434700</v>
      </c>
      <c r="S14" s="9">
        <v>-4.9957673996686935E-2</v>
      </c>
      <c r="U14" t="s">
        <v>18</v>
      </c>
      <c r="V14" s="21">
        <f t="shared" si="3"/>
        <v>12031900</v>
      </c>
      <c r="W14" s="12">
        <f t="shared" si="4"/>
        <v>8.6310318013698428E-2</v>
      </c>
      <c r="X14" s="11">
        <f t="shared" si="5"/>
        <v>2.2191297262907028E-2</v>
      </c>
    </row>
    <row r="15" spans="1:24" x14ac:dyDescent="0.3">
      <c r="A15" t="s">
        <v>19</v>
      </c>
      <c r="B15" s="2">
        <v>109487900</v>
      </c>
      <c r="C15" s="7">
        <v>0.49999999999999983</v>
      </c>
      <c r="E15" t="s">
        <v>19</v>
      </c>
      <c r="F15" s="8">
        <v>109487900</v>
      </c>
      <c r="G15" s="10">
        <v>0.50000005960464478</v>
      </c>
      <c r="I15" t="str">
        <f t="shared" si="0"/>
        <v>No Differences</v>
      </c>
      <c r="J15" s="2">
        <f t="shared" si="1"/>
        <v>0</v>
      </c>
      <c r="K15" s="13">
        <f t="shared" si="2"/>
        <v>-5.9604644941924079E-8</v>
      </c>
      <c r="M15" t="s">
        <v>19</v>
      </c>
      <c r="N15" s="8">
        <v>109487900</v>
      </c>
      <c r="O15" s="10">
        <v>0.50000005960464478</v>
      </c>
      <c r="Q15" t="s">
        <v>19</v>
      </c>
      <c r="R15" s="8">
        <v>136539100</v>
      </c>
      <c r="S15" s="9">
        <v>-3.5443063825368881E-2</v>
      </c>
      <c r="U15" t="s">
        <v>19</v>
      </c>
      <c r="V15" s="21">
        <f t="shared" si="3"/>
        <v>27051200</v>
      </c>
      <c r="W15" s="12">
        <f t="shared" si="4"/>
        <v>0.24707022419829042</v>
      </c>
      <c r="X15" s="11">
        <f t="shared" si="5"/>
        <v>-0.53544312343001366</v>
      </c>
    </row>
    <row r="16" spans="1:24" ht="30" customHeight="1" x14ac:dyDescent="0.3">
      <c r="M16" s="17"/>
      <c r="N16" s="18"/>
      <c r="O16" s="19"/>
      <c r="Q16" s="17"/>
      <c r="R16" s="18"/>
      <c r="S16" s="19"/>
      <c r="V16" s="20"/>
      <c r="W16" s="20"/>
    </row>
    <row r="17" spans="1:11" x14ac:dyDescent="0.3">
      <c r="A17" t="s">
        <v>528</v>
      </c>
      <c r="E17" t="s">
        <v>529</v>
      </c>
      <c r="I17" t="s">
        <v>527</v>
      </c>
    </row>
    <row r="18" spans="1:11" x14ac:dyDescent="0.3">
      <c r="A18" s="5" t="s">
        <v>0</v>
      </c>
      <c r="B18" s="5" t="s">
        <v>522</v>
      </c>
      <c r="C18" s="5" t="s">
        <v>523</v>
      </c>
      <c r="E18" s="5" t="s">
        <v>0</v>
      </c>
      <c r="F18" s="5" t="s">
        <v>522</v>
      </c>
      <c r="G18" s="5" t="s">
        <v>523</v>
      </c>
      <c r="I18" s="5" t="s">
        <v>0</v>
      </c>
      <c r="J18" s="5" t="s">
        <v>522</v>
      </c>
      <c r="K18" s="14" t="s">
        <v>523</v>
      </c>
    </row>
    <row r="19" spans="1:11" x14ac:dyDescent="0.3">
      <c r="A19" t="s">
        <v>8</v>
      </c>
      <c r="B19" s="2">
        <v>83079900</v>
      </c>
      <c r="C19" s="6">
        <v>-7.2847638261477596E-2</v>
      </c>
      <c r="E19" t="s">
        <v>8</v>
      </c>
      <c r="F19" s="8">
        <v>83079900</v>
      </c>
      <c r="G19" s="9">
        <v>-7.2847634553909302E-2</v>
      </c>
      <c r="I19" t="str">
        <f>IF(A19&lt;&gt;E19,"Check Me","No Differences")</f>
        <v>No Differences</v>
      </c>
      <c r="J19" s="2">
        <f>B19-F19</f>
        <v>0</v>
      </c>
      <c r="K19" s="13">
        <f>C19-G19</f>
        <v>-3.707568294042396E-9</v>
      </c>
    </row>
    <row r="20" spans="1:11" x14ac:dyDescent="0.3">
      <c r="A20" t="s">
        <v>9</v>
      </c>
      <c r="B20" s="2">
        <v>200879900</v>
      </c>
      <c r="C20" s="6">
        <v>-0.16336051128124335</v>
      </c>
      <c r="E20" t="s">
        <v>9</v>
      </c>
      <c r="F20" s="8">
        <v>200879900</v>
      </c>
      <c r="G20" s="9">
        <v>-0.16336052119731903</v>
      </c>
      <c r="I20" t="str">
        <f t="shared" ref="I20:I30" si="6">IF(A20&lt;&gt;E20,"Check Me","No Differences")</f>
        <v>No Differences</v>
      </c>
      <c r="J20" s="2">
        <f t="shared" ref="J20:J30" si="7">B20-F20</f>
        <v>0</v>
      </c>
      <c r="K20" s="13">
        <f t="shared" ref="K20:K30" si="8">C20-G20</f>
        <v>9.9160756827920693E-9</v>
      </c>
    </row>
    <row r="21" spans="1:11" x14ac:dyDescent="0.3">
      <c r="A21" t="s">
        <v>10</v>
      </c>
      <c r="B21" s="2">
        <v>107873900</v>
      </c>
      <c r="C21" s="6">
        <v>-0.62601885887805664</v>
      </c>
      <c r="E21" t="s">
        <v>10</v>
      </c>
      <c r="F21" s="8">
        <v>107873900</v>
      </c>
      <c r="G21" s="9">
        <v>-0.62601888179779053</v>
      </c>
      <c r="I21" t="str">
        <f t="shared" si="6"/>
        <v>No Differences</v>
      </c>
      <c r="J21" s="2">
        <f t="shared" si="7"/>
        <v>0</v>
      </c>
      <c r="K21" s="13">
        <f t="shared" si="8"/>
        <v>2.2919733888571159E-8</v>
      </c>
    </row>
    <row r="22" spans="1:11" x14ac:dyDescent="0.3">
      <c r="A22" t="s">
        <v>11</v>
      </c>
      <c r="B22" s="2">
        <v>607473500</v>
      </c>
      <c r="C22" s="7">
        <v>0.81923076923076932</v>
      </c>
      <c r="E22" t="s">
        <v>11</v>
      </c>
      <c r="F22" s="8">
        <v>607473500</v>
      </c>
      <c r="G22" s="10">
        <v>0.81923085451126099</v>
      </c>
      <c r="I22" t="str">
        <f t="shared" si="6"/>
        <v>No Differences</v>
      </c>
      <c r="J22" s="2">
        <f t="shared" si="7"/>
        <v>0</v>
      </c>
      <c r="K22" s="13">
        <f t="shared" si="8"/>
        <v>-8.5280491668449088E-8</v>
      </c>
    </row>
    <row r="23" spans="1:11" x14ac:dyDescent="0.3">
      <c r="A23" t="s">
        <v>12</v>
      </c>
      <c r="B23" s="2">
        <v>478113900</v>
      </c>
      <c r="C23" s="6">
        <v>-0.39713191821666904</v>
      </c>
      <c r="E23" t="s">
        <v>12</v>
      </c>
      <c r="F23" s="8">
        <v>478113900</v>
      </c>
      <c r="G23" s="9">
        <v>-0.39713191986083984</v>
      </c>
      <c r="I23" t="str">
        <f t="shared" si="6"/>
        <v>No Differences</v>
      </c>
      <c r="J23" s="2">
        <f t="shared" si="7"/>
        <v>0</v>
      </c>
      <c r="K23" s="13">
        <f t="shared" si="8"/>
        <v>1.6441707995085153E-9</v>
      </c>
    </row>
    <row r="24" spans="1:11" x14ac:dyDescent="0.3">
      <c r="A24" t="s">
        <v>13</v>
      </c>
      <c r="B24" s="2">
        <v>104340600</v>
      </c>
      <c r="C24" s="6">
        <v>-0.2065806330695544</v>
      </c>
      <c r="E24" t="s">
        <v>13</v>
      </c>
      <c r="F24" s="8">
        <v>104340600</v>
      </c>
      <c r="G24" s="9">
        <v>-0.20658062398433685</v>
      </c>
      <c r="I24" t="str">
        <f t="shared" si="6"/>
        <v>No Differences</v>
      </c>
      <c r="J24" s="2">
        <f t="shared" si="7"/>
        <v>0</v>
      </c>
      <c r="K24" s="13">
        <f t="shared" si="8"/>
        <v>-9.0852175504974042E-9</v>
      </c>
    </row>
    <row r="25" spans="1:11" x14ac:dyDescent="0.3">
      <c r="A25" t="s">
        <v>14</v>
      </c>
      <c r="B25" s="2">
        <v>158309000</v>
      </c>
      <c r="C25" s="6">
        <v>-0.60534715105136272</v>
      </c>
      <c r="E25" t="s">
        <v>14</v>
      </c>
      <c r="F25" s="8">
        <v>158309000</v>
      </c>
      <c r="G25" s="9">
        <v>-0.6053471565246582</v>
      </c>
      <c r="I25" t="str">
        <f t="shared" si="6"/>
        <v>No Differences</v>
      </c>
      <c r="J25" s="2">
        <f t="shared" si="7"/>
        <v>0</v>
      </c>
      <c r="K25" s="13">
        <f t="shared" si="8"/>
        <v>5.4732954835046144E-9</v>
      </c>
    </row>
    <row r="26" spans="1:11" x14ac:dyDescent="0.3">
      <c r="A26" t="s">
        <v>15</v>
      </c>
      <c r="B26" s="2">
        <v>502757100</v>
      </c>
      <c r="C26" s="7">
        <v>0.8395270270270272</v>
      </c>
      <c r="E26" t="s">
        <v>15</v>
      </c>
      <c r="F26" s="8">
        <v>502757100</v>
      </c>
      <c r="G26" s="10">
        <v>0.83952707052230835</v>
      </c>
      <c r="I26" t="str">
        <f t="shared" si="6"/>
        <v>No Differences</v>
      </c>
      <c r="J26" s="2">
        <f t="shared" si="7"/>
        <v>0</v>
      </c>
      <c r="K26" s="13">
        <f t="shared" si="8"/>
        <v>-4.3495281154548593E-8</v>
      </c>
    </row>
    <row r="27" spans="1:11" x14ac:dyDescent="0.3">
      <c r="A27" t="s">
        <v>16</v>
      </c>
      <c r="B27" s="2">
        <v>237212300</v>
      </c>
      <c r="C27" s="6">
        <v>-7.7529594678832983E-2</v>
      </c>
      <c r="E27" t="s">
        <v>16</v>
      </c>
      <c r="F27" s="8">
        <v>237212300</v>
      </c>
      <c r="G27" s="9">
        <v>-7.7529586851596832E-2</v>
      </c>
      <c r="I27" t="str">
        <f t="shared" si="6"/>
        <v>No Differences</v>
      </c>
      <c r="J27" s="2">
        <f t="shared" si="7"/>
        <v>0</v>
      </c>
      <c r="K27" s="13">
        <f t="shared" si="8"/>
        <v>-7.8272361508924249E-9</v>
      </c>
    </row>
    <row r="28" spans="1:11" x14ac:dyDescent="0.3">
      <c r="A28" t="s">
        <v>17</v>
      </c>
      <c r="B28" s="2">
        <v>538024300</v>
      </c>
      <c r="C28" s="6">
        <v>-0.44593088071348946</v>
      </c>
      <c r="E28" t="s">
        <v>17</v>
      </c>
      <c r="F28" s="8">
        <v>538024300</v>
      </c>
      <c r="G28" s="9">
        <v>-0.44593092799186707</v>
      </c>
      <c r="I28" t="str">
        <f t="shared" si="6"/>
        <v>No Differences</v>
      </c>
      <c r="J28" s="2">
        <f t="shared" si="7"/>
        <v>0</v>
      </c>
      <c r="K28" s="13">
        <f t="shared" si="8"/>
        <v>4.7278377601767119E-8</v>
      </c>
    </row>
    <row r="29" spans="1:11" x14ac:dyDescent="0.3">
      <c r="A29" t="s">
        <v>18</v>
      </c>
      <c r="B29" s="2">
        <v>151434700</v>
      </c>
      <c r="C29" s="6">
        <v>-4.9957662997459767E-2</v>
      </c>
      <c r="E29" t="s">
        <v>18</v>
      </c>
      <c r="F29" s="8">
        <v>151434700</v>
      </c>
      <c r="G29" s="9">
        <v>-4.9957673996686935E-2</v>
      </c>
      <c r="I29" t="str">
        <f t="shared" si="6"/>
        <v>No Differences</v>
      </c>
      <c r="J29" s="2">
        <f t="shared" si="7"/>
        <v>0</v>
      </c>
      <c r="K29" s="13">
        <f t="shared" si="8"/>
        <v>1.0999227167962644E-8</v>
      </c>
    </row>
    <row r="30" spans="1:11" x14ac:dyDescent="0.3">
      <c r="A30" t="s">
        <v>19</v>
      </c>
      <c r="B30" s="2">
        <v>136539100</v>
      </c>
      <c r="C30" s="6">
        <v>-3.5443037974683574E-2</v>
      </c>
      <c r="E30" t="s">
        <v>19</v>
      </c>
      <c r="F30" s="8">
        <v>136539100</v>
      </c>
      <c r="G30" s="9">
        <v>-3.5443063825368881E-2</v>
      </c>
      <c r="I30" t="str">
        <f t="shared" si="6"/>
        <v>No Differences</v>
      </c>
      <c r="J30" s="2">
        <f t="shared" si="7"/>
        <v>0</v>
      </c>
      <c r="K30" s="13">
        <f t="shared" si="8"/>
        <v>2.58506853076379E-8</v>
      </c>
    </row>
  </sheetData>
  <mergeCells count="3">
    <mergeCell ref="M2:O2"/>
    <mergeCell ref="Q2:S2"/>
    <mergeCell ref="U2:X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SkillDrill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Lacy Sharratt</cp:lastModifiedBy>
  <dcterms:created xsi:type="dcterms:W3CDTF">2019-05-02T20:23:55Z</dcterms:created>
  <dcterms:modified xsi:type="dcterms:W3CDTF">2021-11-21T15:45:30Z</dcterms:modified>
</cp:coreProperties>
</file>